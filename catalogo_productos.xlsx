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Sebastian_2\Escritorio\ARCHIVOS AROLUZ\APLICACION\BACKUPS PROGRAMA\cotizador_aroluz\"/>
    </mc:Choice>
  </mc:AlternateContent>
  <xr:revisionPtr revIDLastSave="0" documentId="13_ncr:1_{EED9E2BA-9EC9-43FB-938F-446648BB81EF}" xr6:coauthVersionLast="47" xr6:coauthVersionMax="47" xr10:uidLastSave="{00000000-0000-0000-0000-000000000000}"/>
  <bookViews>
    <workbookView xWindow="4716" yWindow="-12" windowWidth="9588" windowHeight="9864" xr2:uid="{00000000-000D-0000-FFFF-FFFF00000000}"/>
  </bookViews>
  <sheets>
    <sheet name="Hoja1" sheetId="1" r:id="rId1"/>
    <sheet name="xxx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2" l="1"/>
  <c r="I2" i="2"/>
  <c r="H2" i="2"/>
  <c r="G2" i="2"/>
</calcChain>
</file>

<file path=xl/sharedStrings.xml><?xml version="1.0" encoding="utf-8"?>
<sst xmlns="http://schemas.openxmlformats.org/spreadsheetml/2006/main" count="487" uniqueCount="87">
  <si>
    <t>Categoria</t>
  </si>
  <si>
    <t>Subcategoria</t>
  </si>
  <si>
    <t>Descripcion</t>
  </si>
  <si>
    <t>Unidad</t>
  </si>
  <si>
    <t>Presentacion</t>
  </si>
  <si>
    <t>EMT</t>
  </si>
  <si>
    <t>1/2" (13mm)</t>
  </si>
  <si>
    <t>UND</t>
  </si>
  <si>
    <t xml:space="preserve">TUBO EMT PESADO DE 1/2" PQT20  </t>
  </si>
  <si>
    <t xml:space="preserve">CURVA EMT GALVANIZADO 1/2" CAJ.150  </t>
  </si>
  <si>
    <t xml:space="preserve">CONECTOR EMT PESADO GALVANIZADO 1/2" CAJ.500  </t>
  </si>
  <si>
    <t xml:space="preserve">UNION EMT GALVANIZADO DE 1/2" CAJ.500  </t>
  </si>
  <si>
    <t>ABRAZADERA 1/2"</t>
  </si>
  <si>
    <t>3/4" (20mm)</t>
  </si>
  <si>
    <t xml:space="preserve">TUBO EMT PESADO DE 3/4" PQT10  </t>
  </si>
  <si>
    <t xml:space="preserve">CURVA EMT GALVANIZADO 3/4" CAJ.100  </t>
  </si>
  <si>
    <t xml:space="preserve">CONECTOR EMT PESADO GALVANIZADO 3/4" CAJ.400  </t>
  </si>
  <si>
    <t xml:space="preserve">UNION EMT GALVANIZADO DE 3/4" CAJ.400  </t>
  </si>
  <si>
    <t>1" (25mm)</t>
  </si>
  <si>
    <t xml:space="preserve">TUBO EMT PESADO DE 1" PQT10  </t>
  </si>
  <si>
    <t xml:space="preserve">CURVA EMT GALVANIZADO 1" CAJ.50  </t>
  </si>
  <si>
    <t xml:space="preserve">CONECTOR EMT PESADO GALVANIZADO 1" CAJ.300  </t>
  </si>
  <si>
    <t xml:space="preserve">UNION EMT GALVANIZADO DE 1" CAJ 300  </t>
  </si>
  <si>
    <t>ABRAZADERA 1"</t>
  </si>
  <si>
    <t>ABRAZADERA 3/4"</t>
  </si>
  <si>
    <t>1 1/4" (32mm)</t>
  </si>
  <si>
    <t xml:space="preserve">TUBO EMT ESTANDAR 1 1/4" PQT5  </t>
  </si>
  <si>
    <t xml:space="preserve">CURVA EMT GALVANIZADO 1 1/4" CAJ.30  </t>
  </si>
  <si>
    <t xml:space="preserve">CONECTOR EMT PESADO GALVANIZADO 1 1/4" CAJ.100  </t>
  </si>
  <si>
    <t xml:space="preserve">UNION EMT GALVANIZADO DE 1 1/4" CAJ.120  </t>
  </si>
  <si>
    <t>ABRAZADERA 1 1/4"</t>
  </si>
  <si>
    <t>1 1/2" (38mm)</t>
  </si>
  <si>
    <t xml:space="preserve">TUBO EMT ESTANDART 1 1/2" PQT5  </t>
  </si>
  <si>
    <t xml:space="preserve">CURVA EMT GALVANIZADO 1 1/2" CAJ.12  </t>
  </si>
  <si>
    <t xml:space="preserve">CONECTOR EMT PESADO GALVANIZADO 1 1/2" CAJ.80  </t>
  </si>
  <si>
    <t xml:space="preserve">UNION EMT GALVANIZADO DE 1 1/2" CAJ. 80  </t>
  </si>
  <si>
    <t>ABRAZADERA 1 1/2"</t>
  </si>
  <si>
    <t>2" (51mm)</t>
  </si>
  <si>
    <t xml:space="preserve">TUBO EMT ESTANDART 2" PQT5  </t>
  </si>
  <si>
    <t xml:space="preserve">CURVA EMT GALVANIZADO 2" CAJ.12  </t>
  </si>
  <si>
    <t xml:space="preserve">CONECTOR EMT PESADO GALVANIZADO 2" CAJ.80  </t>
  </si>
  <si>
    <t xml:space="preserve">UNION EMT GALVANIZADO DE 2" CAJ. 80  </t>
  </si>
  <si>
    <t>ABRAZADERA 2"</t>
  </si>
  <si>
    <t>2 1/2" (64mm)</t>
  </si>
  <si>
    <t xml:space="preserve">TUBO EMT ESTANDART 2 1/2" PQT5  </t>
  </si>
  <si>
    <t xml:space="preserve">CURVA EMT GALVANIZADO 2 1/2" CAJ.12  </t>
  </si>
  <si>
    <t xml:space="preserve">CONECTOR EMT PESADO GALVANIZADO 2 1/2" CAJ.80  </t>
  </si>
  <si>
    <t xml:space="preserve">UNION EMT GALVANIZADO DE 2 1/2" CAJ. 80  </t>
  </si>
  <si>
    <t>ABRAZADERA 2 1/2"</t>
  </si>
  <si>
    <t>3" (76mm)</t>
  </si>
  <si>
    <t xml:space="preserve">TUBO EMT ESTANDART 3" PQT5  </t>
  </si>
  <si>
    <t xml:space="preserve">CURVA EMT GALVANIZADO 3" CAJ.12  </t>
  </si>
  <si>
    <t xml:space="preserve">CONECTOR EMT PESADO GALVANIZADO 3" CAJ.80  </t>
  </si>
  <si>
    <t xml:space="preserve">UNION EMT GALVANIZADO DE 3" CAJ. 80  </t>
  </si>
  <si>
    <t>ABRAZADERA 3"</t>
  </si>
  <si>
    <t>4" (102mm)</t>
  </si>
  <si>
    <t xml:space="preserve">TUBO EMT ESTANDART 4" PQT5  </t>
  </si>
  <si>
    <t xml:space="preserve">CURVA EMT GALVANIZADO 4" CAJ.12  </t>
  </si>
  <si>
    <t xml:space="preserve">CONECTOR EMT PESADO GALVANIZADO 4" CAJ.80  </t>
  </si>
  <si>
    <t xml:space="preserve">UNION EMT GALVANIZADO DE 4" CAJ. 80  </t>
  </si>
  <si>
    <t>ABRAZADERA 4"</t>
  </si>
  <si>
    <t>CAJAS</t>
  </si>
  <si>
    <t>RECTANGULAR</t>
  </si>
  <si>
    <t>CAJA DE PASE RECTANGULAR ALTA</t>
  </si>
  <si>
    <t>CAJA DE PASE RECTANGULAR CHATA</t>
  </si>
  <si>
    <t>OCTOGONAL</t>
  </si>
  <si>
    <t>CAJA DE PASE OCTOGONAL ALTA</t>
  </si>
  <si>
    <t>CAJA DE PASE OCTOGONAL CHATA</t>
  </si>
  <si>
    <t>CUADRADA</t>
  </si>
  <si>
    <t>CAJA DE PASE 100X100X50MM SOLDADA</t>
  </si>
  <si>
    <t>CAJA DE PASE CUADRADA EMBUTIDA</t>
  </si>
  <si>
    <t>TELEFONICA</t>
  </si>
  <si>
    <t>CAJA TELEFONICA TIPO B</t>
  </si>
  <si>
    <t>CAJA TELEFONICA TIPO E</t>
  </si>
  <si>
    <t>CAJA TELEFONICA TIPO C</t>
  </si>
  <si>
    <t>CAJA TELEFONICA TIPO D</t>
  </si>
  <si>
    <t>CAJA DE PASE 100X100X50MM SOLDADA HERMETICA</t>
  </si>
  <si>
    <t>PERNERÍA</t>
  </si>
  <si>
    <t>PERNOS</t>
  </si>
  <si>
    <t>PERNO HEXAGONAL</t>
  </si>
  <si>
    <t>ESPARRAGO</t>
  </si>
  <si>
    <t>VARILLA ROSCADA</t>
  </si>
  <si>
    <t>ARANDELA</t>
  </si>
  <si>
    <t>ARANDELA XXX</t>
  </si>
  <si>
    <t>Precio +30%</t>
  </si>
  <si>
    <t>Precio</t>
  </si>
  <si>
    <t>CAJA TELEFONICA TIPO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</si>
</sst>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2" fontId="0" fillId="0" borderId="0" xfId="0" applyNumberFormat="1"/>
    <xf numFmtId="0" fontId="2" fillId="0" borderId="0" xfId="0" applyFont="1"/>
    <xf numFmtId="49" fontId="2" fillId="0" borderId="0" xfId="0" applyNumberFormat="1" applyFont="1"/>
    <xf numFmtId="2" fontId="2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topLeftCell="A23" workbookViewId="0">
      <selection activeCell="C59" sqref="C59"/>
    </sheetView>
  </sheetViews>
  <sheetFormatPr baseColWidth="10" defaultColWidth="8.88671875" defaultRowHeight="14.4" x14ac:dyDescent="0.3"/>
  <cols>
    <col min="2" max="2" width="11.5546875" bestFit="1" customWidth="1"/>
    <col min="3" max="3" width="33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84</v>
      </c>
      <c r="F1" t="s">
        <v>4</v>
      </c>
    </row>
    <row r="2" spans="1:6" x14ac:dyDescent="0.3">
      <c r="A2" t="s">
        <v>5</v>
      </c>
      <c r="B2" t="s">
        <v>6</v>
      </c>
      <c r="C2" s="1" t="s">
        <v>8</v>
      </c>
      <c r="D2" t="s">
        <v>7</v>
      </c>
      <c r="E2" s="2">
        <v>8.4745762711864412</v>
      </c>
    </row>
    <row r="3" spans="1:6" x14ac:dyDescent="0.3">
      <c r="A3" t="s">
        <v>5</v>
      </c>
      <c r="B3" t="s">
        <v>6</v>
      </c>
      <c r="C3" s="1" t="s">
        <v>9</v>
      </c>
      <c r="D3" t="s">
        <v>7</v>
      </c>
      <c r="E3" s="2">
        <v>1.2106537530266346</v>
      </c>
    </row>
    <row r="4" spans="1:6" x14ac:dyDescent="0.3">
      <c r="A4" t="s">
        <v>5</v>
      </c>
      <c r="B4" t="s">
        <v>6</v>
      </c>
      <c r="C4" s="1" t="s">
        <v>10</v>
      </c>
      <c r="D4" t="s">
        <v>7</v>
      </c>
      <c r="E4" s="2">
        <v>0.84745762711864403</v>
      </c>
    </row>
    <row r="5" spans="1:6" x14ac:dyDescent="0.3">
      <c r="A5" t="s">
        <v>5</v>
      </c>
      <c r="B5" t="s">
        <v>6</v>
      </c>
      <c r="C5" s="1" t="s">
        <v>11</v>
      </c>
      <c r="D5" t="s">
        <v>7</v>
      </c>
      <c r="E5" s="2">
        <v>0.84745762711864403</v>
      </c>
    </row>
    <row r="6" spans="1:6" x14ac:dyDescent="0.3">
      <c r="A6" t="s">
        <v>5</v>
      </c>
      <c r="B6" t="s">
        <v>6</v>
      </c>
      <c r="C6" s="1" t="s">
        <v>12</v>
      </c>
      <c r="D6" t="s">
        <v>7</v>
      </c>
      <c r="E6" s="2">
        <v>0.84745762711864403</v>
      </c>
    </row>
    <row r="7" spans="1:6" x14ac:dyDescent="0.3">
      <c r="A7" t="s">
        <v>5</v>
      </c>
      <c r="B7" t="s">
        <v>13</v>
      </c>
      <c r="C7" s="1" t="s">
        <v>14</v>
      </c>
      <c r="D7" t="s">
        <v>7</v>
      </c>
      <c r="E7" s="2">
        <v>11.501210653753029</v>
      </c>
    </row>
    <row r="8" spans="1:6" x14ac:dyDescent="0.3">
      <c r="A8" t="s">
        <v>5</v>
      </c>
      <c r="B8" t="s">
        <v>13</v>
      </c>
      <c r="C8" s="1" t="s">
        <v>15</v>
      </c>
      <c r="D8" t="s">
        <v>7</v>
      </c>
      <c r="E8" s="2">
        <v>1.8159806295399519</v>
      </c>
    </row>
    <row r="9" spans="1:6" x14ac:dyDescent="0.3">
      <c r="A9" t="s">
        <v>5</v>
      </c>
      <c r="B9" t="s">
        <v>13</v>
      </c>
      <c r="C9" s="1" t="s">
        <v>16</v>
      </c>
      <c r="D9" t="s">
        <v>7</v>
      </c>
      <c r="E9" s="2">
        <v>0.96852300242130773</v>
      </c>
    </row>
    <row r="10" spans="1:6" x14ac:dyDescent="0.3">
      <c r="A10" t="s">
        <v>5</v>
      </c>
      <c r="B10" t="s">
        <v>13</v>
      </c>
      <c r="C10" s="1" t="s">
        <v>17</v>
      </c>
      <c r="D10" t="s">
        <v>7</v>
      </c>
      <c r="E10" s="2">
        <v>0.96852300242130773</v>
      </c>
    </row>
    <row r="11" spans="1:6" x14ac:dyDescent="0.3">
      <c r="A11" t="s">
        <v>5</v>
      </c>
      <c r="B11" t="s">
        <v>13</v>
      </c>
      <c r="C11" s="1" t="s">
        <v>24</v>
      </c>
      <c r="D11" t="s">
        <v>7</v>
      </c>
      <c r="E11" s="2">
        <v>1.331719128329298</v>
      </c>
    </row>
    <row r="12" spans="1:6" x14ac:dyDescent="0.3">
      <c r="A12" t="s">
        <v>5</v>
      </c>
      <c r="B12" t="s">
        <v>18</v>
      </c>
      <c r="C12" s="1" t="s">
        <v>19</v>
      </c>
      <c r="D12" t="s">
        <v>7</v>
      </c>
      <c r="E12" s="2">
        <v>13.922518159806296</v>
      </c>
    </row>
    <row r="13" spans="1:6" x14ac:dyDescent="0.3">
      <c r="A13" t="s">
        <v>5</v>
      </c>
      <c r="B13" t="s">
        <v>18</v>
      </c>
      <c r="C13" s="1" t="s">
        <v>20</v>
      </c>
      <c r="D13" t="s">
        <v>7</v>
      </c>
      <c r="E13" s="2">
        <v>3.0266343825665865</v>
      </c>
    </row>
    <row r="14" spans="1:6" x14ac:dyDescent="0.3">
      <c r="A14" t="s">
        <v>5</v>
      </c>
      <c r="B14" t="s">
        <v>18</v>
      </c>
      <c r="C14" s="1" t="s">
        <v>21</v>
      </c>
      <c r="D14" t="s">
        <v>7</v>
      </c>
      <c r="E14" s="2">
        <v>1.331719128329298</v>
      </c>
    </row>
    <row r="15" spans="1:6" x14ac:dyDescent="0.3">
      <c r="A15" t="s">
        <v>5</v>
      </c>
      <c r="B15" t="s">
        <v>18</v>
      </c>
      <c r="C15" s="1" t="s">
        <v>22</v>
      </c>
      <c r="D15" t="s">
        <v>7</v>
      </c>
      <c r="E15" s="2">
        <v>1.331719128329298</v>
      </c>
    </row>
    <row r="16" spans="1:6" x14ac:dyDescent="0.3">
      <c r="A16" t="s">
        <v>5</v>
      </c>
      <c r="B16" t="s">
        <v>18</v>
      </c>
      <c r="C16" s="1" t="s">
        <v>23</v>
      </c>
      <c r="D16" t="s">
        <v>7</v>
      </c>
      <c r="E16" s="2">
        <v>1.4527845036319613</v>
      </c>
    </row>
    <row r="17" spans="1:5" x14ac:dyDescent="0.3">
      <c r="A17" t="s">
        <v>5</v>
      </c>
      <c r="B17" t="s">
        <v>25</v>
      </c>
      <c r="C17" s="1" t="s">
        <v>26</v>
      </c>
      <c r="D17" t="s">
        <v>7</v>
      </c>
      <c r="E17" s="2">
        <v>19.61259079903148</v>
      </c>
    </row>
    <row r="18" spans="1:5" x14ac:dyDescent="0.3">
      <c r="A18" t="s">
        <v>5</v>
      </c>
      <c r="B18" t="s">
        <v>25</v>
      </c>
      <c r="C18" s="1" t="s">
        <v>27</v>
      </c>
      <c r="D18" t="s">
        <v>7</v>
      </c>
      <c r="E18" s="2">
        <v>8.4745762711864412</v>
      </c>
    </row>
    <row r="19" spans="1:5" x14ac:dyDescent="0.3">
      <c r="A19" t="s">
        <v>5</v>
      </c>
      <c r="B19" t="s">
        <v>25</v>
      </c>
      <c r="C19" s="1" t="s">
        <v>28</v>
      </c>
      <c r="D19" t="s">
        <v>7</v>
      </c>
      <c r="E19" s="2">
        <v>2.6634382566585959</v>
      </c>
    </row>
    <row r="20" spans="1:5" x14ac:dyDescent="0.3">
      <c r="A20" t="s">
        <v>5</v>
      </c>
      <c r="B20" t="s">
        <v>25</v>
      </c>
      <c r="C20" s="1" t="s">
        <v>29</v>
      </c>
      <c r="D20" t="s">
        <v>7</v>
      </c>
      <c r="E20" s="2">
        <v>3.0266343825665865</v>
      </c>
    </row>
    <row r="21" spans="1:5" x14ac:dyDescent="0.3">
      <c r="A21" t="s">
        <v>5</v>
      </c>
      <c r="B21" t="s">
        <v>25</v>
      </c>
      <c r="C21" s="1" t="s">
        <v>30</v>
      </c>
      <c r="D21" t="s">
        <v>7</v>
      </c>
      <c r="E21" s="2">
        <v>1.6949152542372881</v>
      </c>
    </row>
    <row r="22" spans="1:5" x14ac:dyDescent="0.3">
      <c r="A22" t="s">
        <v>5</v>
      </c>
      <c r="B22" t="s">
        <v>31</v>
      </c>
      <c r="C22" s="1" t="s">
        <v>32</v>
      </c>
      <c r="D22" t="s">
        <v>7</v>
      </c>
      <c r="E22" s="2">
        <v>25.423728813559325</v>
      </c>
    </row>
    <row r="23" spans="1:5" x14ac:dyDescent="0.3">
      <c r="A23" t="s">
        <v>5</v>
      </c>
      <c r="B23" t="s">
        <v>31</v>
      </c>
      <c r="C23" s="1" t="s">
        <v>33</v>
      </c>
      <c r="D23" t="s">
        <v>7</v>
      </c>
      <c r="E23" s="2">
        <v>9.6852300242130767</v>
      </c>
    </row>
    <row r="24" spans="1:5" x14ac:dyDescent="0.3">
      <c r="A24" t="s">
        <v>5</v>
      </c>
      <c r="B24" t="s">
        <v>31</v>
      </c>
      <c r="C24" s="1" t="s">
        <v>34</v>
      </c>
      <c r="D24" t="s">
        <v>7</v>
      </c>
      <c r="E24" s="2">
        <v>4.2372881355932206</v>
      </c>
    </row>
    <row r="25" spans="1:5" x14ac:dyDescent="0.3">
      <c r="A25" t="s">
        <v>5</v>
      </c>
      <c r="B25" t="s">
        <v>31</v>
      </c>
      <c r="C25" s="1" t="s">
        <v>35</v>
      </c>
      <c r="D25" t="s">
        <v>7</v>
      </c>
      <c r="E25" s="2">
        <v>4.2372881355932206</v>
      </c>
    </row>
    <row r="26" spans="1:5" x14ac:dyDescent="0.3">
      <c r="A26" t="s">
        <v>5</v>
      </c>
      <c r="B26" t="s">
        <v>31</v>
      </c>
      <c r="C26" s="1" t="s">
        <v>36</v>
      </c>
      <c r="D26" t="s">
        <v>7</v>
      </c>
      <c r="E26" s="2">
        <v>1.8159806295399519</v>
      </c>
    </row>
    <row r="27" spans="1:5" x14ac:dyDescent="0.3">
      <c r="A27" t="s">
        <v>5</v>
      </c>
      <c r="B27" t="s">
        <v>37</v>
      </c>
      <c r="C27" s="1" t="s">
        <v>38</v>
      </c>
      <c r="D27" t="s">
        <v>7</v>
      </c>
      <c r="E27" s="2">
        <v>35.108958837772398</v>
      </c>
    </row>
    <row r="28" spans="1:5" x14ac:dyDescent="0.3">
      <c r="A28" t="s">
        <v>5</v>
      </c>
      <c r="B28" t="s">
        <v>37</v>
      </c>
      <c r="C28" s="1" t="s">
        <v>39</v>
      </c>
      <c r="D28" t="s">
        <v>7</v>
      </c>
      <c r="E28" s="2">
        <v>11.501210653753029</v>
      </c>
    </row>
    <row r="29" spans="1:5" x14ac:dyDescent="0.3">
      <c r="A29" t="s">
        <v>5</v>
      </c>
      <c r="B29" t="s">
        <v>37</v>
      </c>
      <c r="C29" s="1" t="s">
        <v>40</v>
      </c>
      <c r="D29" t="s">
        <v>7</v>
      </c>
      <c r="E29" s="2">
        <v>4.2372881355932206</v>
      </c>
    </row>
    <row r="30" spans="1:5" x14ac:dyDescent="0.3">
      <c r="A30" t="s">
        <v>5</v>
      </c>
      <c r="B30" t="s">
        <v>37</v>
      </c>
      <c r="C30" s="1" t="s">
        <v>41</v>
      </c>
      <c r="D30" t="s">
        <v>7</v>
      </c>
      <c r="E30" s="2">
        <v>4.2372881355932206</v>
      </c>
    </row>
    <row r="31" spans="1:5" x14ac:dyDescent="0.3">
      <c r="A31" t="s">
        <v>5</v>
      </c>
      <c r="B31" t="s">
        <v>37</v>
      </c>
      <c r="C31" s="1" t="s">
        <v>42</v>
      </c>
      <c r="D31" t="s">
        <v>7</v>
      </c>
      <c r="E31" s="2">
        <v>1.8159806295399519</v>
      </c>
    </row>
    <row r="32" spans="1:5" x14ac:dyDescent="0.3">
      <c r="A32" t="s">
        <v>5</v>
      </c>
      <c r="B32" t="s">
        <v>43</v>
      </c>
      <c r="C32" s="1" t="s">
        <v>44</v>
      </c>
      <c r="D32" t="s">
        <v>7</v>
      </c>
      <c r="E32" s="2">
        <v>66.585956416464896</v>
      </c>
    </row>
    <row r="33" spans="1:6" x14ac:dyDescent="0.3">
      <c r="A33" t="s">
        <v>5</v>
      </c>
      <c r="B33" t="s">
        <v>43</v>
      </c>
      <c r="C33" s="1" t="s">
        <v>45</v>
      </c>
      <c r="D33" t="s">
        <v>7</v>
      </c>
      <c r="E33" s="2">
        <v>30.266343825665864</v>
      </c>
    </row>
    <row r="34" spans="1:6" x14ac:dyDescent="0.3">
      <c r="A34" t="s">
        <v>5</v>
      </c>
      <c r="B34" t="s">
        <v>43</v>
      </c>
      <c r="C34" s="1" t="s">
        <v>46</v>
      </c>
      <c r="D34" t="s">
        <v>7</v>
      </c>
      <c r="E34" s="2">
        <v>13.31719128329298</v>
      </c>
    </row>
    <row r="35" spans="1:6" x14ac:dyDescent="0.3">
      <c r="A35" t="s">
        <v>5</v>
      </c>
      <c r="B35" t="s">
        <v>43</v>
      </c>
      <c r="C35" s="1" t="s">
        <v>47</v>
      </c>
      <c r="D35" t="s">
        <v>7</v>
      </c>
      <c r="E35" s="2">
        <v>13.31719128329298</v>
      </c>
    </row>
    <row r="36" spans="1:6" x14ac:dyDescent="0.3">
      <c r="A36" t="s">
        <v>5</v>
      </c>
      <c r="B36" t="s">
        <v>43</v>
      </c>
      <c r="C36" s="1" t="s">
        <v>48</v>
      </c>
      <c r="D36" t="s">
        <v>7</v>
      </c>
      <c r="E36" s="2">
        <v>3.6319612590799037</v>
      </c>
    </row>
    <row r="37" spans="1:6" x14ac:dyDescent="0.3">
      <c r="A37" t="s">
        <v>5</v>
      </c>
      <c r="B37" t="s">
        <v>49</v>
      </c>
      <c r="C37" s="1" t="s">
        <v>50</v>
      </c>
      <c r="D37" t="s">
        <v>7</v>
      </c>
      <c r="E37" s="2">
        <v>84.745762711864415</v>
      </c>
    </row>
    <row r="38" spans="1:6" x14ac:dyDescent="0.3">
      <c r="A38" t="s">
        <v>5</v>
      </c>
      <c r="B38" t="s">
        <v>49</v>
      </c>
      <c r="C38" s="1" t="s">
        <v>51</v>
      </c>
      <c r="D38" t="s">
        <v>7</v>
      </c>
      <c r="E38" s="2">
        <v>46.004842615012116</v>
      </c>
    </row>
    <row r="39" spans="1:6" x14ac:dyDescent="0.3">
      <c r="A39" t="s">
        <v>5</v>
      </c>
      <c r="B39" t="s">
        <v>49</v>
      </c>
      <c r="C39" s="1" t="s">
        <v>52</v>
      </c>
      <c r="D39" t="s">
        <v>7</v>
      </c>
      <c r="E39" s="2">
        <v>15.74</v>
      </c>
    </row>
    <row r="40" spans="1:6" x14ac:dyDescent="0.3">
      <c r="A40" t="s">
        <v>5</v>
      </c>
      <c r="B40" t="s">
        <v>49</v>
      </c>
      <c r="C40" s="1" t="s">
        <v>53</v>
      </c>
      <c r="D40" t="s">
        <v>7</v>
      </c>
      <c r="E40" s="2">
        <v>15.738498789346249</v>
      </c>
    </row>
    <row r="41" spans="1:6" x14ac:dyDescent="0.3">
      <c r="A41" t="s">
        <v>5</v>
      </c>
      <c r="B41" t="s">
        <v>49</v>
      </c>
      <c r="C41" s="1" t="s">
        <v>54</v>
      </c>
      <c r="D41" t="s">
        <v>7</v>
      </c>
      <c r="E41" s="2">
        <v>4.2372881355932206</v>
      </c>
    </row>
    <row r="42" spans="1:6" x14ac:dyDescent="0.3">
      <c r="A42" t="s">
        <v>5</v>
      </c>
      <c r="B42" t="s">
        <v>55</v>
      </c>
      <c r="C42" s="1" t="s">
        <v>56</v>
      </c>
      <c r="D42" t="s">
        <v>7</v>
      </c>
      <c r="E42" s="2">
        <v>115.01210653753029</v>
      </c>
    </row>
    <row r="43" spans="1:6" x14ac:dyDescent="0.3">
      <c r="A43" t="s">
        <v>5</v>
      </c>
      <c r="B43" t="s">
        <v>55</v>
      </c>
      <c r="C43" s="1" t="s">
        <v>57</v>
      </c>
      <c r="D43" t="s">
        <v>7</v>
      </c>
      <c r="E43" s="2">
        <v>66.585956416464896</v>
      </c>
    </row>
    <row r="44" spans="1:6" x14ac:dyDescent="0.3">
      <c r="A44" t="s">
        <v>5</v>
      </c>
      <c r="B44" t="s">
        <v>55</v>
      </c>
      <c r="C44" s="1" t="s">
        <v>58</v>
      </c>
      <c r="D44" t="s">
        <v>7</v>
      </c>
      <c r="E44" s="2">
        <v>20.581113801452787</v>
      </c>
    </row>
    <row r="45" spans="1:6" x14ac:dyDescent="0.3">
      <c r="A45" t="s">
        <v>5</v>
      </c>
      <c r="B45" t="s">
        <v>55</v>
      </c>
      <c r="C45" s="1" t="s">
        <v>59</v>
      </c>
      <c r="D45" t="s">
        <v>7</v>
      </c>
      <c r="E45" s="2">
        <v>20.581113801452787</v>
      </c>
    </row>
    <row r="46" spans="1:6" x14ac:dyDescent="0.3">
      <c r="A46" t="s">
        <v>5</v>
      </c>
      <c r="B46" t="s">
        <v>55</v>
      </c>
      <c r="C46" s="1" t="s">
        <v>60</v>
      </c>
      <c r="D46" t="s">
        <v>7</v>
      </c>
      <c r="E46" s="2">
        <v>4.8426150121065383</v>
      </c>
    </row>
    <row r="47" spans="1:6" x14ac:dyDescent="0.3">
      <c r="A47" t="s">
        <v>61</v>
      </c>
      <c r="B47" t="s">
        <v>62</v>
      </c>
      <c r="C47" s="1" t="s">
        <v>63</v>
      </c>
      <c r="D47" t="s">
        <v>7</v>
      </c>
      <c r="E47" s="2">
        <v>99</v>
      </c>
    </row>
    <row r="48" spans="1:6" x14ac:dyDescent="0.3">
      <c r="A48" t="s">
        <v>61</v>
      </c>
      <c r="B48" t="s">
        <v>62</v>
      </c>
      <c r="C48" s="1" t="s">
        <v>64</v>
      </c>
      <c r="D48" t="s">
        <v>7</v>
      </c>
      <c r="E48" s="2">
        <v>99</v>
      </c>
      <c r="F48" s="6"/>
    </row>
    <row r="49" spans="1:5" x14ac:dyDescent="0.3">
      <c r="A49" t="s">
        <v>61</v>
      </c>
      <c r="B49" t="s">
        <v>65</v>
      </c>
      <c r="C49" s="1" t="s">
        <v>66</v>
      </c>
      <c r="D49" t="s">
        <v>7</v>
      </c>
      <c r="E49" s="2">
        <v>99</v>
      </c>
    </row>
    <row r="50" spans="1:5" x14ac:dyDescent="0.3">
      <c r="A50" t="s">
        <v>61</v>
      </c>
      <c r="B50" t="s">
        <v>65</v>
      </c>
      <c r="C50" s="1" t="s">
        <v>67</v>
      </c>
      <c r="D50" t="s">
        <v>7</v>
      </c>
      <c r="E50" s="2">
        <v>99</v>
      </c>
    </row>
    <row r="51" spans="1:5" x14ac:dyDescent="0.3">
      <c r="A51" t="s">
        <v>61</v>
      </c>
      <c r="B51" t="s">
        <v>68</v>
      </c>
      <c r="C51" s="1" t="s">
        <v>69</v>
      </c>
      <c r="D51" t="s">
        <v>7</v>
      </c>
      <c r="E51" s="2">
        <v>99</v>
      </c>
    </row>
    <row r="52" spans="1:5" x14ac:dyDescent="0.3">
      <c r="A52" t="s">
        <v>61</v>
      </c>
      <c r="B52" t="s">
        <v>68</v>
      </c>
      <c r="C52" s="1" t="s">
        <v>76</v>
      </c>
      <c r="D52" t="s">
        <v>7</v>
      </c>
      <c r="E52" s="2">
        <v>99</v>
      </c>
    </row>
    <row r="53" spans="1:5" x14ac:dyDescent="0.3">
      <c r="A53" t="s">
        <v>61</v>
      </c>
      <c r="B53" t="s">
        <v>68</v>
      </c>
      <c r="C53" s="1" t="s">
        <v>70</v>
      </c>
      <c r="D53" t="s">
        <v>7</v>
      </c>
      <c r="E53" s="2">
        <v>99</v>
      </c>
    </row>
    <row r="54" spans="1:5" x14ac:dyDescent="0.3">
      <c r="A54" t="s">
        <v>61</v>
      </c>
      <c r="B54" t="s">
        <v>71</v>
      </c>
      <c r="C54" s="1" t="s">
        <v>86</v>
      </c>
      <c r="D54" t="s">
        <v>7</v>
      </c>
      <c r="E54" s="2">
        <v>999</v>
      </c>
    </row>
    <row r="55" spans="1:5" x14ac:dyDescent="0.3">
      <c r="A55" t="s">
        <v>61</v>
      </c>
      <c r="B55" t="s">
        <v>71</v>
      </c>
      <c r="C55" s="1" t="s">
        <v>72</v>
      </c>
      <c r="D55" t="s">
        <v>7</v>
      </c>
      <c r="E55" s="2">
        <v>999</v>
      </c>
    </row>
    <row r="56" spans="1:5" x14ac:dyDescent="0.3">
      <c r="A56" t="s">
        <v>61</v>
      </c>
      <c r="B56" t="s">
        <v>71</v>
      </c>
      <c r="C56" s="1" t="s">
        <v>74</v>
      </c>
      <c r="D56" t="s">
        <v>7</v>
      </c>
      <c r="E56" s="2">
        <v>999</v>
      </c>
    </row>
    <row r="57" spans="1:5" x14ac:dyDescent="0.3">
      <c r="A57" t="s">
        <v>61</v>
      </c>
      <c r="B57" t="s">
        <v>71</v>
      </c>
      <c r="C57" s="1" t="s">
        <v>73</v>
      </c>
      <c r="D57" t="s">
        <v>7</v>
      </c>
      <c r="E57" s="2">
        <v>999</v>
      </c>
    </row>
    <row r="58" spans="1:5" x14ac:dyDescent="0.3">
      <c r="A58" t="s">
        <v>61</v>
      </c>
      <c r="B58" t="s">
        <v>71</v>
      </c>
      <c r="C58" s="1" t="s">
        <v>75</v>
      </c>
      <c r="D58" t="s">
        <v>7</v>
      </c>
      <c r="E58" s="2">
        <v>999</v>
      </c>
    </row>
    <row r="59" spans="1:5" x14ac:dyDescent="0.3">
      <c r="A59" t="s">
        <v>77</v>
      </c>
      <c r="B59" t="s">
        <v>78</v>
      </c>
      <c r="C59" s="1" t="s">
        <v>79</v>
      </c>
      <c r="D59" t="s">
        <v>7</v>
      </c>
      <c r="E59" s="2">
        <v>999</v>
      </c>
    </row>
    <row r="60" spans="1:5" x14ac:dyDescent="0.3">
      <c r="A60" t="s">
        <v>77</v>
      </c>
      <c r="B60" t="s">
        <v>80</v>
      </c>
      <c r="C60" s="1" t="s">
        <v>81</v>
      </c>
      <c r="D60" t="s">
        <v>7</v>
      </c>
      <c r="E60" s="2">
        <v>999</v>
      </c>
    </row>
    <row r="61" spans="1:5" x14ac:dyDescent="0.3">
      <c r="A61" t="s">
        <v>77</v>
      </c>
      <c r="B61" t="s">
        <v>82</v>
      </c>
      <c r="C61" s="1" t="s">
        <v>83</v>
      </c>
      <c r="D61" t="s">
        <v>7</v>
      </c>
      <c r="E61" s="2">
        <v>999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3DF56-32B7-438D-A959-DD4370988F4E}">
  <dimension ref="A1:I60"/>
  <sheetViews>
    <sheetView workbookViewId="0">
      <selection activeCell="I3" sqref="I3"/>
    </sheetView>
  </sheetViews>
  <sheetFormatPr baseColWidth="10" defaultRowHeight="14.4" x14ac:dyDescent="0.3"/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85</v>
      </c>
    </row>
    <row r="2" spans="1:9" x14ac:dyDescent="0.3">
      <c r="A2" s="3" t="s">
        <v>5</v>
      </c>
      <c r="B2" s="3" t="s">
        <v>6</v>
      </c>
      <c r="C2" s="4" t="s">
        <v>8</v>
      </c>
      <c r="D2" s="3" t="s">
        <v>7</v>
      </c>
      <c r="E2" s="5">
        <v>7</v>
      </c>
      <c r="G2" s="2">
        <f>+E2/1.18</f>
        <v>5.9322033898305087</v>
      </c>
      <c r="H2" s="2">
        <f>+G2/0.7</f>
        <v>8.4745762711864412</v>
      </c>
      <c r="I2" s="2">
        <f>+G2/0.65</f>
        <v>9.1264667535853974</v>
      </c>
    </row>
    <row r="3" spans="1:9" x14ac:dyDescent="0.3">
      <c r="A3" s="3" t="s">
        <v>5</v>
      </c>
      <c r="B3" s="3" t="s">
        <v>6</v>
      </c>
      <c r="C3" s="4" t="s">
        <v>9</v>
      </c>
      <c r="D3" s="3" t="s">
        <v>7</v>
      </c>
      <c r="E3" s="5">
        <v>1</v>
      </c>
      <c r="I3" s="2">
        <f>+H2*(0.7/0.65)</f>
        <v>9.1264667535853974</v>
      </c>
    </row>
    <row r="4" spans="1:9" x14ac:dyDescent="0.3">
      <c r="A4" s="3" t="s">
        <v>5</v>
      </c>
      <c r="B4" s="3" t="s">
        <v>6</v>
      </c>
      <c r="C4" s="4" t="s">
        <v>10</v>
      </c>
      <c r="D4" s="3" t="s">
        <v>7</v>
      </c>
      <c r="E4" s="5">
        <v>0.7</v>
      </c>
    </row>
    <row r="5" spans="1:9" x14ac:dyDescent="0.3">
      <c r="A5" s="3" t="s">
        <v>5</v>
      </c>
      <c r="B5" s="3" t="s">
        <v>6</v>
      </c>
      <c r="C5" s="4" t="s">
        <v>11</v>
      </c>
      <c r="D5" s="3" t="s">
        <v>7</v>
      </c>
      <c r="E5" s="5">
        <v>0.7</v>
      </c>
    </row>
    <row r="6" spans="1:9" x14ac:dyDescent="0.3">
      <c r="A6" s="3" t="s">
        <v>5</v>
      </c>
      <c r="B6" s="3" t="s">
        <v>6</v>
      </c>
      <c r="C6" s="4" t="s">
        <v>12</v>
      </c>
      <c r="D6" s="3" t="s">
        <v>7</v>
      </c>
      <c r="E6" s="5">
        <v>0.7</v>
      </c>
    </row>
    <row r="7" spans="1:9" x14ac:dyDescent="0.3">
      <c r="A7" s="3" t="s">
        <v>5</v>
      </c>
      <c r="B7" s="3" t="s">
        <v>13</v>
      </c>
      <c r="C7" s="4" t="s">
        <v>14</v>
      </c>
      <c r="D7" s="3" t="s">
        <v>7</v>
      </c>
      <c r="E7" s="5">
        <v>9.5</v>
      </c>
    </row>
    <row r="8" spans="1:9" x14ac:dyDescent="0.3">
      <c r="A8" s="3" t="s">
        <v>5</v>
      </c>
      <c r="B8" s="3" t="s">
        <v>13</v>
      </c>
      <c r="C8" s="4" t="s">
        <v>15</v>
      </c>
      <c r="D8" s="3" t="s">
        <v>7</v>
      </c>
      <c r="E8" s="5">
        <v>1.5</v>
      </c>
    </row>
    <row r="9" spans="1:9" x14ac:dyDescent="0.3">
      <c r="A9" s="3" t="s">
        <v>5</v>
      </c>
      <c r="B9" s="3" t="s">
        <v>13</v>
      </c>
      <c r="C9" s="4" t="s">
        <v>16</v>
      </c>
      <c r="D9" s="3" t="s">
        <v>7</v>
      </c>
      <c r="E9" s="5">
        <v>0.8</v>
      </c>
    </row>
    <row r="10" spans="1:9" x14ac:dyDescent="0.3">
      <c r="A10" s="3" t="s">
        <v>5</v>
      </c>
      <c r="B10" s="3" t="s">
        <v>13</v>
      </c>
      <c r="C10" s="4" t="s">
        <v>17</v>
      </c>
      <c r="D10" s="3" t="s">
        <v>7</v>
      </c>
      <c r="E10" s="5">
        <v>0.8</v>
      </c>
    </row>
    <row r="11" spans="1:9" x14ac:dyDescent="0.3">
      <c r="A11" s="3" t="s">
        <v>5</v>
      </c>
      <c r="B11" s="3" t="s">
        <v>13</v>
      </c>
      <c r="C11" s="4" t="s">
        <v>24</v>
      </c>
      <c r="D11" s="3" t="s">
        <v>7</v>
      </c>
      <c r="E11" s="5">
        <v>1.1000000000000001</v>
      </c>
    </row>
    <row r="12" spans="1:9" x14ac:dyDescent="0.3">
      <c r="A12" s="3" t="s">
        <v>5</v>
      </c>
      <c r="B12" s="3" t="s">
        <v>18</v>
      </c>
      <c r="C12" s="4" t="s">
        <v>19</v>
      </c>
      <c r="D12" s="3" t="s">
        <v>7</v>
      </c>
      <c r="E12" s="5">
        <v>13.56</v>
      </c>
    </row>
    <row r="13" spans="1:9" x14ac:dyDescent="0.3">
      <c r="A13" s="3" t="s">
        <v>5</v>
      </c>
      <c r="B13" s="3" t="s">
        <v>18</v>
      </c>
      <c r="C13" s="4" t="s">
        <v>20</v>
      </c>
      <c r="D13" s="3" t="s">
        <v>7</v>
      </c>
      <c r="E13" s="5">
        <v>2.5</v>
      </c>
    </row>
    <row r="14" spans="1:9" x14ac:dyDescent="0.3">
      <c r="A14" s="3" t="s">
        <v>5</v>
      </c>
      <c r="B14" s="3" t="s">
        <v>18</v>
      </c>
      <c r="C14" s="4" t="s">
        <v>21</v>
      </c>
      <c r="D14" s="3" t="s">
        <v>7</v>
      </c>
      <c r="E14" s="5">
        <v>1.1000000000000001</v>
      </c>
    </row>
    <row r="15" spans="1:9" x14ac:dyDescent="0.3">
      <c r="A15" s="3" t="s">
        <v>5</v>
      </c>
      <c r="B15" s="3" t="s">
        <v>18</v>
      </c>
      <c r="C15" s="4" t="s">
        <v>22</v>
      </c>
      <c r="D15" s="3" t="s">
        <v>7</v>
      </c>
      <c r="E15" s="5">
        <v>1.1000000000000001</v>
      </c>
    </row>
    <row r="16" spans="1:9" x14ac:dyDescent="0.3">
      <c r="A16" s="3" t="s">
        <v>5</v>
      </c>
      <c r="B16" s="3" t="s">
        <v>18</v>
      </c>
      <c r="C16" s="4" t="s">
        <v>23</v>
      </c>
      <c r="D16" s="3" t="s">
        <v>7</v>
      </c>
      <c r="E16" s="5">
        <v>1.2</v>
      </c>
    </row>
    <row r="17" spans="1:5" x14ac:dyDescent="0.3">
      <c r="A17" s="3" t="s">
        <v>5</v>
      </c>
      <c r="B17" s="3" t="s">
        <v>25</v>
      </c>
      <c r="C17" s="4" t="s">
        <v>26</v>
      </c>
      <c r="D17" s="3" t="s">
        <v>7</v>
      </c>
      <c r="E17" s="5">
        <v>16.2</v>
      </c>
    </row>
    <row r="18" spans="1:5" x14ac:dyDescent="0.3">
      <c r="A18" s="3" t="s">
        <v>5</v>
      </c>
      <c r="B18" s="3" t="s">
        <v>25</v>
      </c>
      <c r="C18" s="4" t="s">
        <v>27</v>
      </c>
      <c r="D18" s="3" t="s">
        <v>7</v>
      </c>
      <c r="E18" s="5">
        <v>7</v>
      </c>
    </row>
    <row r="19" spans="1:5" x14ac:dyDescent="0.3">
      <c r="A19" s="3" t="s">
        <v>5</v>
      </c>
      <c r="B19" s="3" t="s">
        <v>25</v>
      </c>
      <c r="C19" s="4" t="s">
        <v>28</v>
      </c>
      <c r="D19" s="3" t="s">
        <v>7</v>
      </c>
      <c r="E19" s="5">
        <v>2.2000000000000002</v>
      </c>
    </row>
    <row r="20" spans="1:5" x14ac:dyDescent="0.3">
      <c r="A20" s="3" t="s">
        <v>5</v>
      </c>
      <c r="B20" s="3" t="s">
        <v>25</v>
      </c>
      <c r="C20" s="4" t="s">
        <v>29</v>
      </c>
      <c r="D20" s="3" t="s">
        <v>7</v>
      </c>
      <c r="E20" s="5">
        <v>2.5</v>
      </c>
    </row>
    <row r="21" spans="1:5" x14ac:dyDescent="0.3">
      <c r="A21" s="3" t="s">
        <v>5</v>
      </c>
      <c r="B21" s="3" t="s">
        <v>25</v>
      </c>
      <c r="C21" s="4" t="s">
        <v>30</v>
      </c>
      <c r="D21" s="3" t="s">
        <v>7</v>
      </c>
      <c r="E21" s="5">
        <v>1.4</v>
      </c>
    </row>
    <row r="22" spans="1:5" x14ac:dyDescent="0.3">
      <c r="A22" s="3" t="s">
        <v>5</v>
      </c>
      <c r="B22" s="3" t="s">
        <v>31</v>
      </c>
      <c r="C22" s="4" t="s">
        <v>32</v>
      </c>
      <c r="D22" s="3" t="s">
        <v>7</v>
      </c>
      <c r="E22" s="5">
        <v>17.8</v>
      </c>
    </row>
    <row r="23" spans="1:5" x14ac:dyDescent="0.3">
      <c r="A23" s="3" t="s">
        <v>5</v>
      </c>
      <c r="B23" s="3" t="s">
        <v>31</v>
      </c>
      <c r="C23" s="4" t="s">
        <v>33</v>
      </c>
      <c r="D23" s="3" t="s">
        <v>7</v>
      </c>
      <c r="E23" s="5">
        <v>8</v>
      </c>
    </row>
    <row r="24" spans="1:5" x14ac:dyDescent="0.3">
      <c r="A24" s="3" t="s">
        <v>5</v>
      </c>
      <c r="B24" s="3" t="s">
        <v>31</v>
      </c>
      <c r="C24" s="4" t="s">
        <v>34</v>
      </c>
      <c r="D24" s="3" t="s">
        <v>7</v>
      </c>
      <c r="E24" s="5">
        <v>2.97</v>
      </c>
    </row>
    <row r="25" spans="1:5" x14ac:dyDescent="0.3">
      <c r="A25" s="3" t="s">
        <v>5</v>
      </c>
      <c r="B25" s="3" t="s">
        <v>31</v>
      </c>
      <c r="C25" s="4" t="s">
        <v>35</v>
      </c>
      <c r="D25" s="3" t="s">
        <v>7</v>
      </c>
      <c r="E25" s="5">
        <v>2.97</v>
      </c>
    </row>
    <row r="26" spans="1:5" x14ac:dyDescent="0.3">
      <c r="A26" s="3" t="s">
        <v>5</v>
      </c>
      <c r="B26" s="3" t="s">
        <v>31</v>
      </c>
      <c r="C26" s="4" t="s">
        <v>36</v>
      </c>
      <c r="D26" s="3" t="s">
        <v>7</v>
      </c>
      <c r="E26" s="5">
        <v>1.5</v>
      </c>
    </row>
    <row r="27" spans="1:5" x14ac:dyDescent="0.3">
      <c r="A27" s="3" t="s">
        <v>5</v>
      </c>
      <c r="B27" s="3" t="s">
        <v>37</v>
      </c>
      <c r="C27" s="4" t="s">
        <v>38</v>
      </c>
      <c r="D27" s="3" t="s">
        <v>7</v>
      </c>
      <c r="E27" s="5">
        <v>29</v>
      </c>
    </row>
    <row r="28" spans="1:5" x14ac:dyDescent="0.3">
      <c r="A28" s="3" t="s">
        <v>5</v>
      </c>
      <c r="B28" s="3" t="s">
        <v>37</v>
      </c>
      <c r="C28" s="4" t="s">
        <v>39</v>
      </c>
      <c r="D28" s="3" t="s">
        <v>7</v>
      </c>
      <c r="E28" s="5">
        <v>9.5</v>
      </c>
    </row>
    <row r="29" spans="1:5" x14ac:dyDescent="0.3">
      <c r="A29" s="3" t="s">
        <v>5</v>
      </c>
      <c r="B29" s="3" t="s">
        <v>37</v>
      </c>
      <c r="C29" s="4" t="s">
        <v>40</v>
      </c>
      <c r="D29" s="3" t="s">
        <v>7</v>
      </c>
      <c r="E29" s="5">
        <v>3.5</v>
      </c>
    </row>
    <row r="30" spans="1:5" x14ac:dyDescent="0.3">
      <c r="A30" s="3" t="s">
        <v>5</v>
      </c>
      <c r="B30" s="3" t="s">
        <v>37</v>
      </c>
      <c r="C30" s="4" t="s">
        <v>41</v>
      </c>
      <c r="D30" s="3" t="s">
        <v>7</v>
      </c>
      <c r="E30" s="5">
        <v>3.5</v>
      </c>
    </row>
    <row r="31" spans="1:5" x14ac:dyDescent="0.3">
      <c r="A31" s="3" t="s">
        <v>5</v>
      </c>
      <c r="B31" s="3" t="s">
        <v>37</v>
      </c>
      <c r="C31" s="4" t="s">
        <v>42</v>
      </c>
      <c r="D31" s="3" t="s">
        <v>7</v>
      </c>
      <c r="E31" s="5">
        <v>1.5</v>
      </c>
    </row>
    <row r="32" spans="1:5" x14ac:dyDescent="0.3">
      <c r="A32" s="3" t="s">
        <v>5</v>
      </c>
      <c r="B32" s="3" t="s">
        <v>43</v>
      </c>
      <c r="C32" s="4" t="s">
        <v>44</v>
      </c>
      <c r="D32" s="3" t="s">
        <v>7</v>
      </c>
      <c r="E32" s="5">
        <v>46.61</v>
      </c>
    </row>
    <row r="33" spans="1:5" x14ac:dyDescent="0.3">
      <c r="A33" s="3" t="s">
        <v>5</v>
      </c>
      <c r="B33" s="3" t="s">
        <v>43</v>
      </c>
      <c r="C33" s="4" t="s">
        <v>45</v>
      </c>
      <c r="D33" s="3" t="s">
        <v>7</v>
      </c>
      <c r="E33" s="5">
        <v>21.19</v>
      </c>
    </row>
    <row r="34" spans="1:5" x14ac:dyDescent="0.3">
      <c r="A34" s="3" t="s">
        <v>5</v>
      </c>
      <c r="B34" s="3" t="s">
        <v>43</v>
      </c>
      <c r="C34" s="4" t="s">
        <v>46</v>
      </c>
      <c r="D34" s="3" t="s">
        <v>7</v>
      </c>
      <c r="E34" s="5">
        <v>9.32</v>
      </c>
    </row>
    <row r="35" spans="1:5" x14ac:dyDescent="0.3">
      <c r="A35" s="3" t="s">
        <v>5</v>
      </c>
      <c r="B35" s="3" t="s">
        <v>43</v>
      </c>
      <c r="C35" s="4" t="s">
        <v>47</v>
      </c>
      <c r="D35" s="3" t="s">
        <v>7</v>
      </c>
      <c r="E35" s="5">
        <v>9.32</v>
      </c>
    </row>
    <row r="36" spans="1:5" x14ac:dyDescent="0.3">
      <c r="A36" s="3" t="s">
        <v>5</v>
      </c>
      <c r="B36" s="3" t="s">
        <v>43</v>
      </c>
      <c r="C36" s="4" t="s">
        <v>48</v>
      </c>
      <c r="D36" s="3" t="s">
        <v>7</v>
      </c>
      <c r="E36" s="5">
        <v>3</v>
      </c>
    </row>
    <row r="37" spans="1:5" x14ac:dyDescent="0.3">
      <c r="A37" s="3" t="s">
        <v>5</v>
      </c>
      <c r="B37" s="3" t="s">
        <v>49</v>
      </c>
      <c r="C37" s="4" t="s">
        <v>50</v>
      </c>
      <c r="D37" s="3" t="s">
        <v>7</v>
      </c>
      <c r="E37" s="5">
        <v>59.32</v>
      </c>
    </row>
    <row r="38" spans="1:5" x14ac:dyDescent="0.3">
      <c r="A38" s="3" t="s">
        <v>5</v>
      </c>
      <c r="B38" s="3" t="s">
        <v>49</v>
      </c>
      <c r="C38" s="4" t="s">
        <v>51</v>
      </c>
      <c r="D38" s="3" t="s">
        <v>7</v>
      </c>
      <c r="E38" s="5">
        <v>32.200000000000003</v>
      </c>
    </row>
    <row r="39" spans="1:5" x14ac:dyDescent="0.3">
      <c r="A39" s="3" t="s">
        <v>5</v>
      </c>
      <c r="B39" s="3" t="s">
        <v>49</v>
      </c>
      <c r="C39" s="4" t="s">
        <v>52</v>
      </c>
      <c r="D39" s="3" t="s">
        <v>7</v>
      </c>
      <c r="E39" s="5">
        <v>0</v>
      </c>
    </row>
    <row r="40" spans="1:5" x14ac:dyDescent="0.3">
      <c r="A40" s="3" t="s">
        <v>5</v>
      </c>
      <c r="B40" s="3" t="s">
        <v>49</v>
      </c>
      <c r="C40" s="4" t="s">
        <v>53</v>
      </c>
      <c r="D40" s="3" t="s">
        <v>7</v>
      </c>
      <c r="E40" s="5">
        <v>11.02</v>
      </c>
    </row>
    <row r="41" spans="1:5" x14ac:dyDescent="0.3">
      <c r="A41" s="3" t="s">
        <v>5</v>
      </c>
      <c r="B41" s="3" t="s">
        <v>49</v>
      </c>
      <c r="C41" s="4" t="s">
        <v>54</v>
      </c>
      <c r="D41" s="3" t="s">
        <v>7</v>
      </c>
      <c r="E41" s="5">
        <v>3.5</v>
      </c>
    </row>
    <row r="42" spans="1:5" x14ac:dyDescent="0.3">
      <c r="A42" s="3" t="s">
        <v>5</v>
      </c>
      <c r="B42" s="3" t="s">
        <v>55</v>
      </c>
      <c r="C42" s="4" t="s">
        <v>56</v>
      </c>
      <c r="D42" s="3" t="s">
        <v>7</v>
      </c>
      <c r="E42" s="5">
        <v>80.510000000000005</v>
      </c>
    </row>
    <row r="43" spans="1:5" x14ac:dyDescent="0.3">
      <c r="A43" s="3" t="s">
        <v>5</v>
      </c>
      <c r="B43" s="3" t="s">
        <v>55</v>
      </c>
      <c r="C43" s="4" t="s">
        <v>57</v>
      </c>
      <c r="D43" s="3" t="s">
        <v>7</v>
      </c>
      <c r="E43" s="5">
        <v>46.61</v>
      </c>
    </row>
    <row r="44" spans="1:5" x14ac:dyDescent="0.3">
      <c r="A44" s="3" t="s">
        <v>5</v>
      </c>
      <c r="B44" s="3" t="s">
        <v>55</v>
      </c>
      <c r="C44" s="4" t="s">
        <v>58</v>
      </c>
      <c r="D44" s="3" t="s">
        <v>7</v>
      </c>
      <c r="E44" s="5">
        <v>14.41</v>
      </c>
    </row>
    <row r="45" spans="1:5" x14ac:dyDescent="0.3">
      <c r="A45" s="3" t="s">
        <v>5</v>
      </c>
      <c r="B45" s="3" t="s">
        <v>55</v>
      </c>
      <c r="C45" s="4" t="s">
        <v>59</v>
      </c>
      <c r="D45" s="3" t="s">
        <v>7</v>
      </c>
      <c r="E45" s="5">
        <v>14.41</v>
      </c>
    </row>
    <row r="46" spans="1:5" x14ac:dyDescent="0.3">
      <c r="A46" s="3" t="s">
        <v>5</v>
      </c>
      <c r="B46" s="3" t="s">
        <v>55</v>
      </c>
      <c r="C46" s="4" t="s">
        <v>60</v>
      </c>
      <c r="D46" s="3" t="s">
        <v>7</v>
      </c>
      <c r="E46" s="5">
        <v>4</v>
      </c>
    </row>
    <row r="47" spans="1:5" x14ac:dyDescent="0.3">
      <c r="A47" s="3" t="s">
        <v>61</v>
      </c>
      <c r="B47" s="3" t="s">
        <v>62</v>
      </c>
      <c r="C47" s="4" t="s">
        <v>63</v>
      </c>
      <c r="D47" s="3" t="s">
        <v>7</v>
      </c>
      <c r="E47" s="5">
        <v>99</v>
      </c>
    </row>
    <row r="48" spans="1:5" x14ac:dyDescent="0.3">
      <c r="A48" s="3" t="s">
        <v>61</v>
      </c>
      <c r="B48" s="3" t="s">
        <v>62</v>
      </c>
      <c r="C48" s="4" t="s">
        <v>64</v>
      </c>
      <c r="D48" s="3" t="s">
        <v>7</v>
      </c>
      <c r="E48" s="5">
        <v>99</v>
      </c>
    </row>
    <row r="49" spans="1:5" x14ac:dyDescent="0.3">
      <c r="A49" s="3" t="s">
        <v>61</v>
      </c>
      <c r="B49" s="3" t="s">
        <v>65</v>
      </c>
      <c r="C49" s="4" t="s">
        <v>66</v>
      </c>
      <c r="D49" s="3" t="s">
        <v>7</v>
      </c>
      <c r="E49" s="5">
        <v>99</v>
      </c>
    </row>
    <row r="50" spans="1:5" x14ac:dyDescent="0.3">
      <c r="A50" s="3" t="s">
        <v>61</v>
      </c>
      <c r="B50" s="3" t="s">
        <v>65</v>
      </c>
      <c r="C50" s="4" t="s">
        <v>67</v>
      </c>
      <c r="D50" s="3" t="s">
        <v>7</v>
      </c>
      <c r="E50" s="5">
        <v>99</v>
      </c>
    </row>
    <row r="51" spans="1:5" x14ac:dyDescent="0.3">
      <c r="A51" s="3" t="s">
        <v>61</v>
      </c>
      <c r="B51" s="3" t="s">
        <v>68</v>
      </c>
      <c r="C51" s="4" t="s">
        <v>69</v>
      </c>
      <c r="D51" s="3" t="s">
        <v>7</v>
      </c>
      <c r="E51" s="5">
        <v>99</v>
      </c>
    </row>
    <row r="52" spans="1:5" x14ac:dyDescent="0.3">
      <c r="A52" s="3" t="s">
        <v>61</v>
      </c>
      <c r="B52" s="3" t="s">
        <v>68</v>
      </c>
      <c r="C52" s="4" t="s">
        <v>76</v>
      </c>
      <c r="D52" s="3" t="s">
        <v>7</v>
      </c>
      <c r="E52" s="5">
        <v>99</v>
      </c>
    </row>
    <row r="53" spans="1:5" x14ac:dyDescent="0.3">
      <c r="A53" s="3" t="s">
        <v>61</v>
      </c>
      <c r="B53" s="3" t="s">
        <v>68</v>
      </c>
      <c r="C53" s="4" t="s">
        <v>70</v>
      </c>
      <c r="D53" s="3" t="s">
        <v>7</v>
      </c>
      <c r="E53" s="5">
        <v>99</v>
      </c>
    </row>
    <row r="54" spans="1:5" x14ac:dyDescent="0.3">
      <c r="A54" s="3" t="s">
        <v>61</v>
      </c>
      <c r="B54" s="3" t="s">
        <v>71</v>
      </c>
      <c r="C54" s="4" t="s">
        <v>72</v>
      </c>
      <c r="D54" s="3" t="s">
        <v>7</v>
      </c>
      <c r="E54" s="5">
        <v>999</v>
      </c>
    </row>
    <row r="55" spans="1:5" x14ac:dyDescent="0.3">
      <c r="A55" s="3" t="s">
        <v>61</v>
      </c>
      <c r="B55" s="3" t="s">
        <v>71</v>
      </c>
      <c r="C55" s="4" t="s">
        <v>73</v>
      </c>
      <c r="D55" s="3" t="s">
        <v>7</v>
      </c>
      <c r="E55" s="5">
        <v>999</v>
      </c>
    </row>
    <row r="56" spans="1:5" x14ac:dyDescent="0.3">
      <c r="A56" s="3" t="s">
        <v>61</v>
      </c>
      <c r="B56" s="3" t="s">
        <v>71</v>
      </c>
      <c r="C56" s="4" t="s">
        <v>74</v>
      </c>
      <c r="D56" s="3" t="s">
        <v>7</v>
      </c>
      <c r="E56" s="5">
        <v>999</v>
      </c>
    </row>
    <row r="57" spans="1:5" x14ac:dyDescent="0.3">
      <c r="A57" s="3" t="s">
        <v>61</v>
      </c>
      <c r="B57" s="3" t="s">
        <v>71</v>
      </c>
      <c r="C57" s="4" t="s">
        <v>75</v>
      </c>
      <c r="D57" s="3" t="s">
        <v>7</v>
      </c>
      <c r="E57" s="5">
        <v>999</v>
      </c>
    </row>
    <row r="58" spans="1:5" x14ac:dyDescent="0.3">
      <c r="A58" s="3" t="s">
        <v>77</v>
      </c>
      <c r="B58" s="3" t="s">
        <v>78</v>
      </c>
      <c r="C58" s="4" t="s">
        <v>79</v>
      </c>
      <c r="D58" s="3" t="s">
        <v>7</v>
      </c>
      <c r="E58" s="5">
        <v>999</v>
      </c>
    </row>
    <row r="59" spans="1:5" x14ac:dyDescent="0.3">
      <c r="A59" s="3" t="s">
        <v>77</v>
      </c>
      <c r="B59" s="3" t="s">
        <v>80</v>
      </c>
      <c r="C59" s="4" t="s">
        <v>81</v>
      </c>
      <c r="D59" s="3" t="s">
        <v>7</v>
      </c>
      <c r="E59" s="5">
        <v>999</v>
      </c>
    </row>
    <row r="60" spans="1:5" x14ac:dyDescent="0.3">
      <c r="A60" s="3" t="s">
        <v>77</v>
      </c>
      <c r="B60" s="3" t="s">
        <v>82</v>
      </c>
      <c r="C60" s="4" t="s">
        <v>83</v>
      </c>
      <c r="D60" s="3" t="s">
        <v>7</v>
      </c>
      <c r="E60" s="5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xxx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</dc:creator>
  <cp:lastModifiedBy>u202110498 (Abanto Ricapa, Oswaldo Sebastian)</cp:lastModifiedBy>
  <dcterms:created xsi:type="dcterms:W3CDTF">2015-06-05T18:19:34Z</dcterms:created>
  <dcterms:modified xsi:type="dcterms:W3CDTF">2026-02-17T00:55:55Z</dcterms:modified>
</cp:coreProperties>
</file>